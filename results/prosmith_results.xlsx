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tmcconachie/Desktop/research/molfeat/results/"/>
    </mc:Choice>
  </mc:AlternateContent>
  <xr:revisionPtr revIDLastSave="0" documentId="13_ncr:1_{1FBF2BB7-EE12-AD4B-ABC8-C231FABA8C94}" xr6:coauthVersionLast="47" xr6:coauthVersionMax="47" xr10:uidLastSave="{00000000-0000-0000-0000-000000000000}"/>
  <bookViews>
    <workbookView xWindow="-35980" yWindow="-6200" windowWidth="30240" windowHeight="17640" xr2:uid="{123CDDCE-1309-DC46-93B4-EF344A70005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  <c r="G58" i="1"/>
  <c r="J58" i="1" s="1"/>
  <c r="H57" i="1"/>
  <c r="G57" i="1"/>
  <c r="I57" i="1" s="1"/>
  <c r="H56" i="1"/>
  <c r="G56" i="1"/>
  <c r="H55" i="1"/>
  <c r="G55" i="1"/>
  <c r="J55" i="1" s="1"/>
  <c r="H54" i="1"/>
  <c r="G54" i="1"/>
  <c r="I54" i="1" s="1"/>
  <c r="H53" i="1"/>
  <c r="G53" i="1"/>
  <c r="H52" i="1"/>
  <c r="G52" i="1"/>
  <c r="J52" i="1" s="1"/>
  <c r="H51" i="1"/>
  <c r="G51" i="1"/>
  <c r="J51" i="1" s="1"/>
  <c r="H50" i="1"/>
  <c r="G50" i="1"/>
  <c r="H49" i="1"/>
  <c r="G49" i="1"/>
  <c r="J49" i="1" s="1"/>
  <c r="H48" i="1"/>
  <c r="G48" i="1"/>
  <c r="J48" i="1" s="1"/>
  <c r="H47" i="1"/>
  <c r="G47" i="1"/>
  <c r="H46" i="1"/>
  <c r="G46" i="1"/>
  <c r="J46" i="1" s="1"/>
  <c r="H45" i="1"/>
  <c r="G45" i="1"/>
  <c r="J45" i="1" s="1"/>
  <c r="H26" i="1"/>
  <c r="H38" i="1"/>
  <c r="G38" i="1"/>
  <c r="J38" i="1" s="1"/>
  <c r="H37" i="1"/>
  <c r="G37" i="1"/>
  <c r="H36" i="1"/>
  <c r="G36" i="1"/>
  <c r="J36" i="1" s="1"/>
  <c r="H35" i="1"/>
  <c r="G35" i="1"/>
  <c r="J35" i="1" s="1"/>
  <c r="H34" i="1"/>
  <c r="G34" i="1"/>
  <c r="H33" i="1"/>
  <c r="G33" i="1"/>
  <c r="H32" i="1"/>
  <c r="G32" i="1"/>
  <c r="J32" i="1" s="1"/>
  <c r="H31" i="1"/>
  <c r="G31" i="1"/>
  <c r="H30" i="1"/>
  <c r="G30" i="1"/>
  <c r="J30" i="1" s="1"/>
  <c r="H29" i="1"/>
  <c r="G29" i="1"/>
  <c r="J29" i="1" s="1"/>
  <c r="H28" i="1"/>
  <c r="G28" i="1"/>
  <c r="H27" i="1"/>
  <c r="G27" i="1"/>
  <c r="G26" i="1"/>
  <c r="H25" i="1"/>
  <c r="G25" i="1"/>
  <c r="J25" i="1" s="1"/>
  <c r="C5" i="3"/>
  <c r="C13" i="3"/>
  <c r="K21" i="3"/>
  <c r="H4" i="2"/>
  <c r="G4" i="2"/>
  <c r="G7" i="1"/>
  <c r="G18" i="1"/>
  <c r="H18" i="1"/>
  <c r="G5" i="1"/>
  <c r="H5" i="1"/>
  <c r="G9" i="1"/>
  <c r="G17" i="1"/>
  <c r="H4" i="1"/>
  <c r="H6" i="1"/>
  <c r="H7" i="1"/>
  <c r="H8" i="1"/>
  <c r="H9" i="1"/>
  <c r="I9" i="1" s="1"/>
  <c r="H10" i="1"/>
  <c r="H11" i="1"/>
  <c r="H12" i="1"/>
  <c r="H13" i="1"/>
  <c r="H14" i="1"/>
  <c r="H15" i="1"/>
  <c r="H16" i="1"/>
  <c r="H17" i="1"/>
  <c r="G4" i="1"/>
  <c r="G6" i="1"/>
  <c r="G8" i="1"/>
  <c r="G10" i="1"/>
  <c r="G11" i="1"/>
  <c r="G12" i="1"/>
  <c r="G13" i="1"/>
  <c r="G14" i="1"/>
  <c r="G15" i="1"/>
  <c r="G16" i="1"/>
  <c r="J47" i="1" l="1"/>
  <c r="I53" i="1"/>
  <c r="I50" i="1"/>
  <c r="J56" i="1"/>
  <c r="J28" i="1"/>
  <c r="J34" i="1"/>
  <c r="I47" i="1"/>
  <c r="J50" i="1"/>
  <c r="I51" i="1"/>
  <c r="J57" i="1"/>
  <c r="I56" i="1"/>
  <c r="J53" i="1"/>
  <c r="I45" i="1"/>
  <c r="J54" i="1"/>
  <c r="I48" i="1"/>
  <c r="I46" i="1"/>
  <c r="I49" i="1"/>
  <c r="I52" i="1"/>
  <c r="I55" i="1"/>
  <c r="I58" i="1"/>
  <c r="J31" i="1"/>
  <c r="J37" i="1"/>
  <c r="J27" i="1"/>
  <c r="J33" i="1"/>
  <c r="J26" i="1"/>
  <c r="I27" i="1"/>
  <c r="I30" i="1"/>
  <c r="I33" i="1"/>
  <c r="I36" i="1"/>
  <c r="I25" i="1"/>
  <c r="I28" i="1"/>
  <c r="I31" i="1"/>
  <c r="I34" i="1"/>
  <c r="I37" i="1"/>
  <c r="I38" i="1"/>
  <c r="I26" i="1"/>
  <c r="I29" i="1"/>
  <c r="I32" i="1"/>
  <c r="I35" i="1"/>
  <c r="J4" i="2"/>
  <c r="I4" i="2"/>
  <c r="I5" i="1"/>
  <c r="J6" i="1"/>
  <c r="I18" i="1"/>
  <c r="J18" i="1"/>
  <c r="I17" i="1"/>
  <c r="J5" i="1"/>
  <c r="I4" i="1"/>
  <c r="J12" i="1"/>
  <c r="J11" i="1"/>
  <c r="J17" i="1"/>
  <c r="J9" i="1"/>
  <c r="J10" i="1"/>
  <c r="J16" i="1"/>
  <c r="J14" i="1"/>
  <c r="J4" i="1"/>
  <c r="I14" i="1"/>
  <c r="I16" i="1"/>
  <c r="J15" i="1"/>
  <c r="I15" i="1"/>
  <c r="J13" i="1"/>
  <c r="I13" i="1"/>
  <c r="I12" i="1"/>
  <c r="I11" i="1"/>
  <c r="I10" i="1"/>
  <c r="J7" i="1"/>
  <c r="I7" i="1"/>
  <c r="I8" i="1"/>
  <c r="J8" i="1"/>
  <c r="I6" i="1"/>
</calcChain>
</file>

<file path=xl/sharedStrings.xml><?xml version="1.0" encoding="utf-8"?>
<sst xmlns="http://schemas.openxmlformats.org/spreadsheetml/2006/main" count="268" uniqueCount="150">
  <si>
    <t>HC random split (R2)</t>
  </si>
  <si>
    <t>rand_split_1</t>
  </si>
  <si>
    <t>rand_split_2</t>
  </si>
  <si>
    <t>rand_split_3</t>
  </si>
  <si>
    <t>rand_split_4</t>
  </si>
  <si>
    <t>rand_split_5</t>
  </si>
  <si>
    <t>avg</t>
  </si>
  <si>
    <t>std</t>
  </si>
  <si>
    <t>CATS</t>
  </si>
  <si>
    <t>MordredDescriptors</t>
  </si>
  <si>
    <t>Pharmacophore2D</t>
  </si>
  <si>
    <t>RDKitDescriptors2D</t>
  </si>
  <si>
    <t>ScaffoldKeyCalculator</t>
  </si>
  <si>
    <t>ecfp</t>
  </si>
  <si>
    <t>Roberta-Zinc480M-102M</t>
  </si>
  <si>
    <t>GPT2-Zinc480M-87M</t>
  </si>
  <si>
    <t>ChemGPT-19M</t>
  </si>
  <si>
    <t>MolT5</t>
  </si>
  <si>
    <t>ChemBERTa-77M-MTR</t>
  </si>
  <si>
    <t>gin_supervised_infomax</t>
  </si>
  <si>
    <t>gin_supervised_edgepred</t>
  </si>
  <si>
    <t>gin_supervised_contextpred</t>
  </si>
  <si>
    <t>+1 std</t>
  </si>
  <si>
    <t>-1 std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</si>
  <si>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</si>
  <si>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</si>
  <si>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</si>
  <si>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</si>
  <si>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</si>
  <si>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</si>
  <si>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</si>
  <si>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</si>
  <si>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</si>
  <si>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</si>
  <si>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</si>
  <si>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</si>
  <si>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</si>
  <si>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</si>
  <si>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</si>
  <si>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</si>
  <si>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</si>
  <si>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</si>
  <si>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Guo paper</t>
  </si>
  <si>
    <t>CC_and_HC</t>
  </si>
  <si>
    <t>ChemBERT</t>
  </si>
  <si>
    <t>Embedding</t>
  </si>
  <si>
    <t>Hallem et. al. (R2)</t>
  </si>
  <si>
    <t>Hladiš et. al. (MCC)</t>
  </si>
  <si>
    <t>Carey et. al. (R2)</t>
  </si>
  <si>
    <t>MO</t>
  </si>
  <si>
    <t>MPL</t>
  </si>
  <si>
    <t>MPP</t>
  </si>
  <si>
    <t>0.367 +- 0.033</t>
  </si>
  <si>
    <t>0.561 +- 0.032</t>
  </si>
  <si>
    <t>0.092 +- 0.264</t>
  </si>
  <si>
    <t>0.485 +- 0.034</t>
  </si>
  <si>
    <t>x</t>
  </si>
  <si>
    <t>0.110 +- 0.227</t>
  </si>
  <si>
    <t>0.272 +- 0.013</t>
  </si>
  <si>
    <t>0.137 +- 0.341</t>
  </si>
  <si>
    <t>0.382 +- 0.042</t>
  </si>
  <si>
    <t>0.579 +- 0.036</t>
  </si>
  <si>
    <t>0.116 +- 0.293</t>
  </si>
  <si>
    <t>0.478 +- 0.038</t>
  </si>
  <si>
    <t>0.178 +- 0.261</t>
  </si>
  <si>
    <t>0.209 +- 0.018</t>
  </si>
  <si>
    <t>0.192 +- 0.247</t>
  </si>
  <si>
    <t>0.389 +- 0.037</t>
  </si>
  <si>
    <t>0.530 +- 0.059</t>
  </si>
  <si>
    <t>0.097 +- 0.270</t>
  </si>
  <si>
    <t>0.530 +- 0.032</t>
  </si>
  <si>
    <t>0.175 +- 0.261</t>
  </si>
  <si>
    <t>0.283 +- 0.018</t>
  </si>
  <si>
    <t>0.044 +- 0.201</t>
  </si>
  <si>
    <t>0.302 +- 0.043</t>
  </si>
  <si>
    <t>0.601 +- 0.057</t>
  </si>
  <si>
    <t>0.063 +- 0.237</t>
  </si>
  <si>
    <t>0.321 +- 0.042</t>
  </si>
  <si>
    <t>0.034 +- 0.404</t>
  </si>
  <si>
    <t>0.265 +- 0.021</t>
  </si>
  <si>
    <t>0.272 +- 0.040</t>
  </si>
  <si>
    <t>0.501 +- 0.044</t>
  </si>
  <si>
    <t>0.055 +- 0.200</t>
  </si>
  <si>
    <t>0.503 +- 0.043</t>
  </si>
  <si>
    <t>0.005 +- 0.280</t>
  </si>
  <si>
    <t>0.247 +- 0.016</t>
  </si>
  <si>
    <t>0.182 +- 0.282</t>
  </si>
  <si>
    <t>0.388 +- 0.035</t>
  </si>
  <si>
    <t>0.558 +- 0.036</t>
  </si>
  <si>
    <t>0.096 +- 0.293</t>
  </si>
  <si>
    <t>0.547 +- 0.027</t>
  </si>
  <si>
    <t>0.207 +- 0.410</t>
  </si>
  <si>
    <t>0.298 +- 0.020</t>
  </si>
  <si>
    <t>0.183 +- 0.252</t>
  </si>
  <si>
    <t>0.398 +- 0.040</t>
  </si>
  <si>
    <t>0.564 +- 0.041</t>
  </si>
  <si>
    <t>0.131 +- 0.310</t>
  </si>
  <si>
    <t>0.509 +- 0.016</t>
  </si>
  <si>
    <t>0.181 +- 0.237</t>
  </si>
  <si>
    <t>0.295 +- 0.020</t>
  </si>
  <si>
    <t>0.095 +- 0.205</t>
  </si>
  <si>
    <t>0.368 +- 0.041</t>
  </si>
  <si>
    <t>0.521 +- 0.067</t>
  </si>
  <si>
    <t>0.109 +- 0.285</t>
  </si>
  <si>
    <t>0.473 +- 0.018</t>
  </si>
  <si>
    <t>0.121 +- 0.266</t>
  </si>
  <si>
    <t>0.297 +- 0.023</t>
  </si>
  <si>
    <t>0.118 +- 0.240</t>
  </si>
  <si>
    <t>0.360 +- 0.035</t>
  </si>
  <si>
    <t>0.559 +- 0.051</t>
  </si>
  <si>
    <t>0.101 +- 0.293</t>
  </si>
  <si>
    <t>0.519 +- 0.042</t>
  </si>
  <si>
    <t>0.285 +- 0.028</t>
  </si>
  <si>
    <t>0.156 +- 0.249</t>
  </si>
  <si>
    <t>0.389 +- 0.035</t>
  </si>
  <si>
    <t>0.555 +- 0.046</t>
  </si>
  <si>
    <t>0.113 +- 0.294</t>
  </si>
  <si>
    <t>0.552 +- 0.030</t>
  </si>
  <si>
    <t>0.215 +- 0.279</t>
  </si>
  <si>
    <t>0.303 +- 0.019</t>
  </si>
  <si>
    <t>0.198 +- 0.349</t>
  </si>
  <si>
    <t>0.373 +- 0.039</t>
  </si>
  <si>
    <t>0.574 +- 0.040</t>
  </si>
  <si>
    <t>0.172 +- 0.351</t>
  </si>
  <si>
    <t>0.541 +- 0.036</t>
  </si>
  <si>
    <t>0.218 +- 0.298</t>
  </si>
  <si>
    <t>0.291 +- 0.019</t>
  </si>
  <si>
    <t>0.198 +- 0.287</t>
  </si>
  <si>
    <t>0.396 +- 0.041</t>
  </si>
  <si>
    <t>0.530 +- 0.044</t>
  </si>
  <si>
    <t>0.109 +- 0.300</t>
  </si>
  <si>
    <t>0.532 +- 0.023</t>
  </si>
  <si>
    <t>0.243 +- 0.273</t>
  </si>
  <si>
    <t>0.304 +- 0.021</t>
  </si>
  <si>
    <t>0.177 +- 0.252</t>
  </si>
  <si>
    <t>0.390 +- 0.038</t>
  </si>
  <si>
    <t>0.550 +- 0.031</t>
  </si>
  <si>
    <t>0.118 +- 0.312</t>
  </si>
  <si>
    <t>0.548 +- 0.030</t>
  </si>
  <si>
    <t>0.189 +- 0.308</t>
  </si>
  <si>
    <t>0.296 +- 0.019</t>
  </si>
  <si>
    <t>0.203 +- 0.411</t>
  </si>
  <si>
    <t>0.397 +- 0.041</t>
  </si>
  <si>
    <t>0.547 +- 0.061</t>
  </si>
  <si>
    <t>0.103 +- 0.266</t>
  </si>
  <si>
    <t>0.549 +- 0.010</t>
  </si>
  <si>
    <t>0.257 +- 0.255</t>
  </si>
  <si>
    <t>&lt; - big table</t>
  </si>
  <si>
    <t>CC random split (R2)</t>
  </si>
  <si>
    <t>M2OR (MCC)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</si>
</sst>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6A5A-7BB2-5346-AC1D-C1C8792E7D45}">
  <dimension ref="A1:S58"/>
  <sheetViews>
    <sheetView tabSelected="1" zoomScale="125" workbookViewId="0">
      <selection activeCell="A19" sqref="A19"/>
    </sheetView>
  </sheetViews>
  <sheetFormatPr baseColWidth="10" defaultRowHeight="16" x14ac:dyDescent="0.2"/>
  <cols>
    <col min="1" max="2" width="24" bestFit="1" customWidth="1"/>
    <col min="3" max="5" width="11" bestFit="1" customWidth="1"/>
    <col min="6" max="6" width="12.6640625" bestFit="1" customWidth="1"/>
    <col min="7" max="8" width="7.33203125" bestFit="1" customWidth="1"/>
  </cols>
  <sheetData>
    <row r="1" spans="1:17" x14ac:dyDescent="0.2">
      <c r="A1" t="s">
        <v>0</v>
      </c>
    </row>
    <row r="2" spans="1:17" x14ac:dyDescent="0.2">
      <c r="M2" t="s">
        <v>24</v>
      </c>
    </row>
    <row r="3" spans="1:17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22</v>
      </c>
      <c r="J3" s="1" t="s">
        <v>23</v>
      </c>
    </row>
    <row r="4" spans="1:17" ht="17" thickBot="1" x14ac:dyDescent="0.25">
      <c r="A4" s="5" t="s">
        <v>9</v>
      </c>
      <c r="B4">
        <v>0.60263496889592505</v>
      </c>
      <c r="C4">
        <v>0.608806538509716</v>
      </c>
      <c r="D4">
        <v>0.60274932298874795</v>
      </c>
      <c r="E4">
        <v>0.54715384006450696</v>
      </c>
      <c r="F4">
        <v>0.53285942848854595</v>
      </c>
      <c r="G4">
        <f>AVERAGE(B4:F4)</f>
        <v>0.57884081978948831</v>
      </c>
      <c r="H4">
        <f>STDEV(B4:F4)</f>
        <v>3.5895944706226618E-2</v>
      </c>
      <c r="I4">
        <f>G4+H4</f>
        <v>0.6147367644957149</v>
      </c>
      <c r="J4">
        <f>G4-H4</f>
        <v>0.54294487508326172</v>
      </c>
      <c r="M4" t="s">
        <v>25</v>
      </c>
    </row>
    <row r="5" spans="1:17" x14ac:dyDescent="0.2">
      <c r="A5" s="5" t="s">
        <v>8</v>
      </c>
      <c r="B5">
        <v>0.52840260134403705</v>
      </c>
      <c r="C5">
        <v>0.59149284798671198</v>
      </c>
      <c r="D5">
        <v>0.59873839394467099</v>
      </c>
      <c r="E5">
        <v>0.53583075456597196</v>
      </c>
      <c r="F5">
        <v>0.54883460563070297</v>
      </c>
      <c r="G5">
        <f>AVERAGE(B5:F5)</f>
        <v>0.56065984069441899</v>
      </c>
      <c r="H5">
        <f>STDEV(B5:F5)</f>
        <v>3.2394057129019355E-2</v>
      </c>
      <c r="I5">
        <f>G5+H5</f>
        <v>0.59305389782343831</v>
      </c>
      <c r="J5">
        <f>G5-H5</f>
        <v>0.52826578356539966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</row>
    <row r="6" spans="1:17" x14ac:dyDescent="0.2">
      <c r="A6" s="5" t="s">
        <v>10</v>
      </c>
      <c r="B6">
        <v>0.50817986983669605</v>
      </c>
      <c r="C6">
        <v>0.52625941520622799</v>
      </c>
      <c r="D6">
        <v>0.62728274594671596</v>
      </c>
      <c r="E6">
        <v>0.52184577735164395</v>
      </c>
      <c r="F6">
        <v>0.46833075672297197</v>
      </c>
      <c r="G6">
        <f t="shared" ref="G6:G16" si="0">AVERAGE(B6:F6)</f>
        <v>0.53037971301285114</v>
      </c>
      <c r="H6">
        <f t="shared" ref="H6:H18" si="1">STDEV(B6:F6)</f>
        <v>5.8785433394200198E-2</v>
      </c>
      <c r="I6">
        <f t="shared" ref="I6:I18" si="2">G6+H6</f>
        <v>0.58916514640705131</v>
      </c>
      <c r="J6">
        <f t="shared" ref="J6:J18" si="3">G6-H6</f>
        <v>0.47159427961865097</v>
      </c>
      <c r="M6" t="s">
        <v>9</v>
      </c>
      <c r="N6">
        <v>5</v>
      </c>
      <c r="O6">
        <v>2.8942040989474416</v>
      </c>
      <c r="P6">
        <v>0.57884081978948831</v>
      </c>
      <c r="Q6">
        <v>1.2885188463524786E-3</v>
      </c>
    </row>
    <row r="7" spans="1:17" x14ac:dyDescent="0.2">
      <c r="A7" s="5" t="s">
        <v>11</v>
      </c>
      <c r="B7">
        <v>0.62888398184393701</v>
      </c>
      <c r="C7">
        <v>0.65740282561162799</v>
      </c>
      <c r="D7">
        <v>0.63447138819883497</v>
      </c>
      <c r="E7">
        <v>0.56394446279614097</v>
      </c>
      <c r="F7">
        <v>0.51906481727379405</v>
      </c>
      <c r="G7">
        <f>AVERAGE(B7:F7)</f>
        <v>0.60075349514486698</v>
      </c>
      <c r="H7">
        <f t="shared" si="1"/>
        <v>5.7370097156600568E-2</v>
      </c>
      <c r="I7">
        <f t="shared" si="2"/>
        <v>0.65812359230146755</v>
      </c>
      <c r="J7">
        <f t="shared" si="3"/>
        <v>0.5433833979882664</v>
      </c>
      <c r="M7" t="s">
        <v>8</v>
      </c>
      <c r="N7">
        <v>5</v>
      </c>
      <c r="O7">
        <v>2.8032992034720952</v>
      </c>
      <c r="P7">
        <v>0.56065984069441899</v>
      </c>
      <c r="Q7">
        <v>1.0493749372781698E-3</v>
      </c>
    </row>
    <row r="8" spans="1:17" x14ac:dyDescent="0.2">
      <c r="A8" s="5" t="s">
        <v>12</v>
      </c>
      <c r="B8">
        <v>0.49752089917465198</v>
      </c>
      <c r="C8">
        <v>0.48662827419193999</v>
      </c>
      <c r="D8">
        <v>0.57543202231758805</v>
      </c>
      <c r="E8">
        <v>0.48673602888686801</v>
      </c>
      <c r="F8">
        <v>0.46062746696944001</v>
      </c>
      <c r="G8">
        <f t="shared" si="0"/>
        <v>0.50138893830809761</v>
      </c>
      <c r="H8">
        <f t="shared" si="1"/>
        <v>4.3564384885257226E-2</v>
      </c>
      <c r="I8">
        <f t="shared" si="2"/>
        <v>0.54495332319335488</v>
      </c>
      <c r="J8">
        <f t="shared" si="3"/>
        <v>0.4578245534228404</v>
      </c>
      <c r="M8" t="s">
        <v>10</v>
      </c>
      <c r="N8">
        <v>5</v>
      </c>
      <c r="O8">
        <v>2.6518985650642559</v>
      </c>
      <c r="P8">
        <v>0.53037971301285114</v>
      </c>
      <c r="Q8">
        <v>3.4557271793439481E-3</v>
      </c>
    </row>
    <row r="9" spans="1:17" x14ac:dyDescent="0.2">
      <c r="A9" s="6" t="s">
        <v>13</v>
      </c>
      <c r="B9">
        <v>0.52217055118641598</v>
      </c>
      <c r="C9">
        <v>0.59174434825933997</v>
      </c>
      <c r="D9">
        <v>0.59691563575434003</v>
      </c>
      <c r="E9">
        <v>0.553877352816594</v>
      </c>
      <c r="F9">
        <v>0.52457562730885499</v>
      </c>
      <c r="G9">
        <f>AVERAGE(B9:F9)</f>
        <v>0.55785670306510904</v>
      </c>
      <c r="H9">
        <f t="shared" si="1"/>
        <v>3.5605264313844753E-2</v>
      </c>
      <c r="I9">
        <f t="shared" si="2"/>
        <v>0.59346196737895385</v>
      </c>
      <c r="J9">
        <f t="shared" si="3"/>
        <v>0.52225143875126423</v>
      </c>
      <c r="M9" t="s">
        <v>11</v>
      </c>
      <c r="N9">
        <v>5</v>
      </c>
      <c r="O9">
        <v>3.0037674757243349</v>
      </c>
      <c r="P9">
        <v>0.60075349514486698</v>
      </c>
      <c r="Q9">
        <v>3.2913280477577887E-3</v>
      </c>
    </row>
    <row r="10" spans="1:17" x14ac:dyDescent="0.2">
      <c r="A10" s="7" t="s">
        <v>14</v>
      </c>
      <c r="B10">
        <v>0.592048556110783</v>
      </c>
      <c r="C10">
        <v>0.57878230690650101</v>
      </c>
      <c r="D10">
        <v>0.60769977668221198</v>
      </c>
      <c r="E10">
        <v>0.52180438237780302</v>
      </c>
      <c r="F10">
        <v>0.51856355929062503</v>
      </c>
      <c r="G10">
        <f t="shared" si="0"/>
        <v>0.56377971627358492</v>
      </c>
      <c r="H10">
        <f t="shared" si="1"/>
        <v>4.1108412295135892E-2</v>
      </c>
      <c r="I10">
        <f t="shared" si="2"/>
        <v>0.60488812856872076</v>
      </c>
      <c r="J10">
        <f t="shared" si="3"/>
        <v>0.52267130397844908</v>
      </c>
      <c r="M10" t="s">
        <v>12</v>
      </c>
      <c r="N10">
        <v>5</v>
      </c>
      <c r="O10">
        <v>2.5069446915404883</v>
      </c>
      <c r="P10">
        <v>0.50138893830809761</v>
      </c>
      <c r="Q10">
        <v>1.8978556304308281E-3</v>
      </c>
    </row>
    <row r="11" spans="1:17" x14ac:dyDescent="0.2">
      <c r="A11" s="7" t="s">
        <v>15</v>
      </c>
      <c r="B11">
        <v>0.50349687329182002</v>
      </c>
      <c r="C11">
        <v>0.56805695950138102</v>
      </c>
      <c r="D11">
        <v>0.61047854496931797</v>
      </c>
      <c r="E11">
        <v>0.47062468524937001</v>
      </c>
      <c r="F11">
        <v>0.45211115928661799</v>
      </c>
      <c r="G11">
        <f t="shared" si="0"/>
        <v>0.52095364445970138</v>
      </c>
      <c r="H11">
        <f t="shared" si="1"/>
        <v>6.6727919304406344E-2</v>
      </c>
      <c r="I11">
        <f t="shared" si="2"/>
        <v>0.58768156376410774</v>
      </c>
      <c r="J11">
        <f t="shared" si="3"/>
        <v>0.45422572515529502</v>
      </c>
      <c r="M11" t="s">
        <v>13</v>
      </c>
      <c r="N11">
        <v>5</v>
      </c>
      <c r="O11">
        <v>2.7892835153255451</v>
      </c>
      <c r="P11">
        <v>0.55785670306510904</v>
      </c>
      <c r="Q11">
        <v>1.2677348468587467E-3</v>
      </c>
    </row>
    <row r="12" spans="1:17" x14ac:dyDescent="0.2">
      <c r="A12" s="7" t="s">
        <v>16</v>
      </c>
      <c r="B12">
        <v>0.57858916289935203</v>
      </c>
      <c r="C12">
        <v>0.61598887729736596</v>
      </c>
      <c r="D12">
        <v>0.58917616850337695</v>
      </c>
      <c r="E12">
        <v>0.51812173603822698</v>
      </c>
      <c r="F12">
        <v>0.49530946548942001</v>
      </c>
      <c r="G12">
        <f t="shared" si="0"/>
        <v>0.55943708204554832</v>
      </c>
      <c r="H12">
        <f t="shared" si="1"/>
        <v>5.0667124527288034E-2</v>
      </c>
      <c r="I12">
        <f t="shared" si="2"/>
        <v>0.61010420657283637</v>
      </c>
      <c r="J12">
        <f t="shared" si="3"/>
        <v>0.50876995751826026</v>
      </c>
      <c r="M12" t="s">
        <v>14</v>
      </c>
      <c r="N12">
        <v>5</v>
      </c>
      <c r="O12">
        <v>2.8188985813679244</v>
      </c>
      <c r="P12">
        <v>0.56377971627358492</v>
      </c>
      <c r="Q12">
        <v>1.6899015614268795E-3</v>
      </c>
    </row>
    <row r="13" spans="1:17" x14ac:dyDescent="0.2">
      <c r="A13" s="7" t="s">
        <v>17</v>
      </c>
      <c r="B13">
        <v>0.59096084702555596</v>
      </c>
      <c r="C13">
        <v>0.58068647766108406</v>
      </c>
      <c r="D13">
        <v>0.57403655097561601</v>
      </c>
      <c r="E13">
        <v>0.55099936179139597</v>
      </c>
      <c r="F13">
        <v>0.47686847317378001</v>
      </c>
      <c r="G13">
        <f t="shared" si="0"/>
        <v>0.55471034212548642</v>
      </c>
      <c r="H13">
        <f t="shared" si="1"/>
        <v>4.5922459124940092E-2</v>
      </c>
      <c r="I13">
        <f t="shared" si="2"/>
        <v>0.60063280125042651</v>
      </c>
      <c r="J13">
        <f t="shared" si="3"/>
        <v>0.50878788300054634</v>
      </c>
      <c r="M13" t="s">
        <v>15</v>
      </c>
      <c r="N13">
        <v>5</v>
      </c>
      <c r="O13">
        <v>2.6047682222985071</v>
      </c>
      <c r="P13">
        <v>0.52095364445970138</v>
      </c>
      <c r="Q13">
        <v>4.4526152146953657E-3</v>
      </c>
    </row>
    <row r="14" spans="1:17" x14ac:dyDescent="0.2">
      <c r="A14" s="7" t="s">
        <v>18</v>
      </c>
      <c r="B14">
        <v>0.58779157179796104</v>
      </c>
      <c r="C14">
        <v>0.61249465894807498</v>
      </c>
      <c r="D14">
        <v>0.60778980388388903</v>
      </c>
      <c r="E14">
        <v>0.53269115069855899</v>
      </c>
      <c r="F14">
        <v>0.53068035895931098</v>
      </c>
      <c r="G14">
        <f t="shared" si="0"/>
        <v>0.57428950885755892</v>
      </c>
      <c r="H14">
        <f t="shared" si="1"/>
        <v>3.9988718159966359E-2</v>
      </c>
      <c r="I14">
        <f t="shared" si="2"/>
        <v>0.61427822701752532</v>
      </c>
      <c r="J14">
        <f t="shared" si="3"/>
        <v>0.53430079069759251</v>
      </c>
      <c r="M14" t="s">
        <v>16</v>
      </c>
      <c r="N14">
        <v>5</v>
      </c>
      <c r="O14">
        <v>2.7971854102277418</v>
      </c>
      <c r="P14">
        <v>0.55943708204554832</v>
      </c>
      <c r="Q14">
        <v>2.5671575078637125E-3</v>
      </c>
    </row>
    <row r="15" spans="1:17" x14ac:dyDescent="0.2">
      <c r="A15" s="8" t="s">
        <v>19</v>
      </c>
      <c r="B15">
        <v>0.54482744398592597</v>
      </c>
      <c r="C15">
        <v>0.51191522396340905</v>
      </c>
      <c r="D15">
        <v>0.59576697189455396</v>
      </c>
      <c r="E15">
        <v>0.51848176193235795</v>
      </c>
      <c r="F15">
        <v>0.47880604676705002</v>
      </c>
      <c r="G15">
        <f t="shared" si="0"/>
        <v>0.52995948970865936</v>
      </c>
      <c r="H15">
        <f t="shared" si="1"/>
        <v>4.3662596298234213E-2</v>
      </c>
      <c r="I15">
        <f t="shared" si="2"/>
        <v>0.57362208600689357</v>
      </c>
      <c r="J15">
        <f t="shared" si="3"/>
        <v>0.48629689341042515</v>
      </c>
      <c r="M15" t="s">
        <v>17</v>
      </c>
      <c r="N15">
        <v>5</v>
      </c>
      <c r="O15">
        <v>2.7735517106274319</v>
      </c>
      <c r="P15">
        <v>0.55471034212548642</v>
      </c>
      <c r="Q15">
        <v>2.1088722520817933E-3</v>
      </c>
    </row>
    <row r="16" spans="1:17" x14ac:dyDescent="0.2">
      <c r="A16" s="8" t="s">
        <v>20</v>
      </c>
      <c r="B16">
        <v>0.55817367599020695</v>
      </c>
      <c r="C16">
        <v>0.57721140727130305</v>
      </c>
      <c r="D16">
        <v>0.579796917425627</v>
      </c>
      <c r="E16">
        <v>0.51547343733530504</v>
      </c>
      <c r="F16">
        <v>0.51993503889279702</v>
      </c>
      <c r="G16">
        <f t="shared" si="0"/>
        <v>0.55011809538304779</v>
      </c>
      <c r="H16">
        <f t="shared" si="1"/>
        <v>3.078571761453066E-2</v>
      </c>
      <c r="I16">
        <f t="shared" si="2"/>
        <v>0.58090381299757843</v>
      </c>
      <c r="J16">
        <f t="shared" si="3"/>
        <v>0.51933237776851715</v>
      </c>
      <c r="M16" t="s">
        <v>18</v>
      </c>
      <c r="N16">
        <v>5</v>
      </c>
      <c r="O16">
        <v>2.8714475442877947</v>
      </c>
      <c r="P16">
        <v>0.57428950885755892</v>
      </c>
      <c r="Q16">
        <v>1.5990975800772231E-3</v>
      </c>
    </row>
    <row r="17" spans="1:19" x14ac:dyDescent="0.2">
      <c r="A17" s="8" t="s">
        <v>21</v>
      </c>
      <c r="B17">
        <v>0.55983679168493705</v>
      </c>
      <c r="C17">
        <v>0.56698147195722504</v>
      </c>
      <c r="D17">
        <v>0.62928875910190196</v>
      </c>
      <c r="E17">
        <v>0.50683720614930095</v>
      </c>
      <c r="F17">
        <v>0.46979753489158399</v>
      </c>
      <c r="G17">
        <f>AVERAGE(B17:F17)</f>
        <v>0.54654835275698976</v>
      </c>
      <c r="H17">
        <f t="shared" si="1"/>
        <v>6.1048613865140378E-2</v>
      </c>
      <c r="I17">
        <f t="shared" si="2"/>
        <v>0.60759696662213014</v>
      </c>
      <c r="J17">
        <f t="shared" si="3"/>
        <v>0.48549973889184939</v>
      </c>
      <c r="M17" t="s">
        <v>19</v>
      </c>
      <c r="N17">
        <v>5</v>
      </c>
      <c r="O17">
        <v>2.6497974485432967</v>
      </c>
      <c r="P17">
        <v>0.52995948970865936</v>
      </c>
      <c r="Q17">
        <v>1.906422315502576E-3</v>
      </c>
    </row>
    <row r="18" spans="1:19" x14ac:dyDescent="0.2">
      <c r="A18" s="4" t="s">
        <v>42</v>
      </c>
      <c r="B18" s="4">
        <v>0.6</v>
      </c>
      <c r="C18" s="4">
        <v>0.53</v>
      </c>
      <c r="D18" s="4">
        <v>0.56999999999999995</v>
      </c>
      <c r="E18" s="4">
        <v>0.56999999999999995</v>
      </c>
      <c r="F18" s="4">
        <v>0.51</v>
      </c>
      <c r="G18" s="4">
        <f>AVERAGE(B18:F18)</f>
        <v>0.55599999999999983</v>
      </c>
      <c r="H18" s="4">
        <f t="shared" si="1"/>
        <v>3.577708763999661E-2</v>
      </c>
      <c r="I18" s="4">
        <f t="shared" si="2"/>
        <v>0.59177708763999648</v>
      </c>
      <c r="J18" s="4">
        <f t="shared" si="3"/>
        <v>0.52022291236000318</v>
      </c>
      <c r="M18" t="s">
        <v>20</v>
      </c>
      <c r="N18">
        <v>5</v>
      </c>
      <c r="O18">
        <v>2.7505904769152387</v>
      </c>
      <c r="P18">
        <v>0.55011809538304779</v>
      </c>
      <c r="Q18">
        <v>9.4776040904162335E-4</v>
      </c>
    </row>
    <row r="19" spans="1:19" ht="17" thickBot="1" x14ac:dyDescent="0.25">
      <c r="M19" s="2" t="s">
        <v>21</v>
      </c>
      <c r="N19" s="2">
        <v>5</v>
      </c>
      <c r="O19" s="2">
        <v>2.7327417637849489</v>
      </c>
      <c r="P19" s="2">
        <v>0.54654835275698976</v>
      </c>
      <c r="Q19" s="2">
        <v>3.7269332548550099E-3</v>
      </c>
    </row>
    <row r="22" spans="1:19" ht="17" thickBot="1" x14ac:dyDescent="0.25">
      <c r="A22" t="s">
        <v>148</v>
      </c>
      <c r="M22" t="s">
        <v>31</v>
      </c>
    </row>
    <row r="23" spans="1:19" x14ac:dyDescent="0.2">
      <c r="M23" s="3" t="s">
        <v>32</v>
      </c>
      <c r="N23" s="3" t="s">
        <v>33</v>
      </c>
      <c r="O23" s="3" t="s">
        <v>34</v>
      </c>
      <c r="P23" s="3" t="s">
        <v>35</v>
      </c>
      <c r="Q23" s="3" t="s">
        <v>36</v>
      </c>
      <c r="R23" s="3" t="s">
        <v>37</v>
      </c>
      <c r="S23" s="3" t="s">
        <v>38</v>
      </c>
    </row>
    <row r="24" spans="1:19" x14ac:dyDescent="0.2"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s="1" t="s">
        <v>22</v>
      </c>
      <c r="J24" s="1" t="s">
        <v>23</v>
      </c>
      <c r="M24" t="s">
        <v>39</v>
      </c>
      <c r="N24">
        <v>4.2082524382172068E-2</v>
      </c>
      <c r="O24">
        <v>13</v>
      </c>
      <c r="P24">
        <v>3.2371172601670822E-3</v>
      </c>
      <c r="Q24">
        <v>1.4502610377281051</v>
      </c>
      <c r="R24">
        <v>0.16625142525921091</v>
      </c>
      <c r="S24">
        <v>1.8992649531410335</v>
      </c>
    </row>
    <row r="25" spans="1:19" x14ac:dyDescent="0.2">
      <c r="A25" s="5" t="s">
        <v>9</v>
      </c>
      <c r="G25" t="e">
        <f>AVERAGE(B25:F25)</f>
        <v>#DIV/0!</v>
      </c>
      <c r="H25" t="e">
        <f>STDEV(B25:F25)</f>
        <v>#DIV/0!</v>
      </c>
      <c r="I25" t="e">
        <f>G25+H25</f>
        <v>#DIV/0!</v>
      </c>
      <c r="J25" t="e">
        <f>G25-H25</f>
        <v>#DIV/0!</v>
      </c>
      <c r="M25" t="s">
        <v>40</v>
      </c>
      <c r="N25">
        <v>0.12499719833426477</v>
      </c>
      <c r="O25">
        <v>56</v>
      </c>
      <c r="P25">
        <v>2.2320928273975851E-3</v>
      </c>
    </row>
    <row r="26" spans="1:19" x14ac:dyDescent="0.2">
      <c r="A26" s="5" t="s">
        <v>8</v>
      </c>
      <c r="G26" t="e">
        <f>AVERAGE(B26:F26)</f>
        <v>#DIV/0!</v>
      </c>
      <c r="H26" t="e">
        <f>STDEV(B26:F26)</f>
        <v>#DIV/0!</v>
      </c>
      <c r="I26" t="e">
        <f>G26+H26</f>
        <v>#DIV/0!</v>
      </c>
      <c r="J26" t="e">
        <f>G26-H26</f>
        <v>#DIV/0!</v>
      </c>
    </row>
    <row r="27" spans="1:19" ht="17" thickBot="1" x14ac:dyDescent="0.25">
      <c r="A27" s="5" t="s">
        <v>10</v>
      </c>
      <c r="G27" t="e">
        <f t="shared" ref="G27" si="4">AVERAGE(B27:F27)</f>
        <v>#DIV/0!</v>
      </c>
      <c r="H27" t="e">
        <f t="shared" ref="H27:H38" si="5">STDEV(B27:F27)</f>
        <v>#DIV/0!</v>
      </c>
      <c r="I27" t="e">
        <f t="shared" ref="I27:I38" si="6">G27+H27</f>
        <v>#DIV/0!</v>
      </c>
      <c r="J27" t="e">
        <f t="shared" ref="J27:J38" si="7">G27-H27</f>
        <v>#DIV/0!</v>
      </c>
      <c r="M27" s="2" t="s">
        <v>41</v>
      </c>
      <c r="N27" s="2">
        <v>0.16707972271643684</v>
      </c>
      <c r="O27" s="2">
        <v>69</v>
      </c>
      <c r="P27" s="2"/>
      <c r="Q27" s="2"/>
      <c r="R27" s="2"/>
      <c r="S27" s="2"/>
    </row>
    <row r="28" spans="1:19" x14ac:dyDescent="0.2">
      <c r="A28" s="5" t="s">
        <v>11</v>
      </c>
      <c r="G28" t="e">
        <f>AVERAGE(B28:F28)</f>
        <v>#DIV/0!</v>
      </c>
      <c r="H28" t="e">
        <f t="shared" si="5"/>
        <v>#DIV/0!</v>
      </c>
      <c r="I28" t="e">
        <f t="shared" si="6"/>
        <v>#DIV/0!</v>
      </c>
      <c r="J28" t="e">
        <f t="shared" si="7"/>
        <v>#DIV/0!</v>
      </c>
    </row>
    <row r="29" spans="1:19" x14ac:dyDescent="0.2">
      <c r="A29" s="5" t="s">
        <v>12</v>
      </c>
      <c r="G29" t="e">
        <f t="shared" ref="G29" si="8">AVERAGE(B29:F29)</f>
        <v>#DIV/0!</v>
      </c>
      <c r="H29" t="e">
        <f t="shared" si="5"/>
        <v>#DIV/0!</v>
      </c>
      <c r="I29" t="e">
        <f t="shared" si="6"/>
        <v>#DIV/0!</v>
      </c>
      <c r="J29" t="e">
        <f t="shared" si="7"/>
        <v>#DIV/0!</v>
      </c>
    </row>
    <row r="30" spans="1:19" x14ac:dyDescent="0.2">
      <c r="A30" s="6" t="s">
        <v>13</v>
      </c>
      <c r="G30" t="e">
        <f>AVERAGE(B30:F30)</f>
        <v>#DIV/0!</v>
      </c>
      <c r="H30" t="e">
        <f t="shared" si="5"/>
        <v>#DIV/0!</v>
      </c>
      <c r="I30" t="e">
        <f t="shared" si="6"/>
        <v>#DIV/0!</v>
      </c>
      <c r="J30" t="e">
        <f t="shared" si="7"/>
        <v>#DIV/0!</v>
      </c>
    </row>
    <row r="31" spans="1:19" x14ac:dyDescent="0.2">
      <c r="A31" s="7" t="s">
        <v>14</v>
      </c>
      <c r="G31" t="e">
        <f t="shared" ref="G31:G37" si="9">AVERAGE(B31:F31)</f>
        <v>#DIV/0!</v>
      </c>
      <c r="H31" t="e">
        <f t="shared" si="5"/>
        <v>#DIV/0!</v>
      </c>
      <c r="I31" t="e">
        <f t="shared" si="6"/>
        <v>#DIV/0!</v>
      </c>
      <c r="J31" t="e">
        <f t="shared" si="7"/>
        <v>#DIV/0!</v>
      </c>
    </row>
    <row r="32" spans="1:19" x14ac:dyDescent="0.2">
      <c r="A32" s="7" t="s">
        <v>15</v>
      </c>
      <c r="G32" t="e">
        <f t="shared" si="9"/>
        <v>#DIV/0!</v>
      </c>
      <c r="H32" t="e">
        <f t="shared" si="5"/>
        <v>#DIV/0!</v>
      </c>
      <c r="I32" t="e">
        <f t="shared" si="6"/>
        <v>#DIV/0!</v>
      </c>
      <c r="J32" t="e">
        <f t="shared" si="7"/>
        <v>#DIV/0!</v>
      </c>
    </row>
    <row r="33" spans="1:10" x14ac:dyDescent="0.2">
      <c r="A33" s="7" t="s">
        <v>16</v>
      </c>
      <c r="G33" t="e">
        <f t="shared" si="9"/>
        <v>#DIV/0!</v>
      </c>
      <c r="H33" t="e">
        <f t="shared" si="5"/>
        <v>#DIV/0!</v>
      </c>
      <c r="I33" t="e">
        <f t="shared" si="6"/>
        <v>#DIV/0!</v>
      </c>
      <c r="J33" t="e">
        <f t="shared" si="7"/>
        <v>#DIV/0!</v>
      </c>
    </row>
    <row r="34" spans="1:10" x14ac:dyDescent="0.2">
      <c r="A34" s="7" t="s">
        <v>17</v>
      </c>
      <c r="G34" t="e">
        <f t="shared" si="9"/>
        <v>#DIV/0!</v>
      </c>
      <c r="H34" t="e">
        <f t="shared" si="5"/>
        <v>#DIV/0!</v>
      </c>
      <c r="I34" t="e">
        <f t="shared" si="6"/>
        <v>#DIV/0!</v>
      </c>
      <c r="J34" t="e">
        <f t="shared" si="7"/>
        <v>#DIV/0!</v>
      </c>
    </row>
    <row r="35" spans="1:10" x14ac:dyDescent="0.2">
      <c r="A35" s="7" t="s">
        <v>18</v>
      </c>
      <c r="G35" t="e">
        <f t="shared" si="9"/>
        <v>#DIV/0!</v>
      </c>
      <c r="H35" t="e">
        <f t="shared" si="5"/>
        <v>#DIV/0!</v>
      </c>
      <c r="I35" t="e">
        <f t="shared" si="6"/>
        <v>#DIV/0!</v>
      </c>
      <c r="J35" t="e">
        <f t="shared" si="7"/>
        <v>#DIV/0!</v>
      </c>
    </row>
    <row r="36" spans="1:10" x14ac:dyDescent="0.2">
      <c r="A36" s="8" t="s">
        <v>19</v>
      </c>
      <c r="G36" t="e">
        <f t="shared" si="9"/>
        <v>#DIV/0!</v>
      </c>
      <c r="H36" t="e">
        <f t="shared" si="5"/>
        <v>#DIV/0!</v>
      </c>
      <c r="I36" t="e">
        <f t="shared" si="6"/>
        <v>#DIV/0!</v>
      </c>
      <c r="J36" t="e">
        <f t="shared" si="7"/>
        <v>#DIV/0!</v>
      </c>
    </row>
    <row r="37" spans="1:10" x14ac:dyDescent="0.2">
      <c r="A37" s="8" t="s">
        <v>20</v>
      </c>
      <c r="G37" t="e">
        <f t="shared" si="9"/>
        <v>#DIV/0!</v>
      </c>
      <c r="H37" t="e">
        <f t="shared" si="5"/>
        <v>#DIV/0!</v>
      </c>
      <c r="I37" t="e">
        <f t="shared" si="6"/>
        <v>#DIV/0!</v>
      </c>
      <c r="J37" t="e">
        <f t="shared" si="7"/>
        <v>#DIV/0!</v>
      </c>
    </row>
    <row r="38" spans="1:10" x14ac:dyDescent="0.2">
      <c r="A38" s="8" t="s">
        <v>21</v>
      </c>
      <c r="G38" t="e">
        <f>AVERAGE(B38:F38)</f>
        <v>#DIV/0!</v>
      </c>
      <c r="H38" t="e">
        <f t="shared" si="5"/>
        <v>#DIV/0!</v>
      </c>
      <c r="I38" t="e">
        <f t="shared" si="6"/>
        <v>#DIV/0!</v>
      </c>
      <c r="J38" t="e">
        <f t="shared" si="7"/>
        <v>#DIV/0!</v>
      </c>
    </row>
    <row r="42" spans="1:10" x14ac:dyDescent="0.2">
      <c r="A42" t="s">
        <v>149</v>
      </c>
    </row>
    <row r="44" spans="1:10" x14ac:dyDescent="0.2"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s="1" t="s">
        <v>22</v>
      </c>
      <c r="J44" s="1" t="s">
        <v>23</v>
      </c>
    </row>
    <row r="45" spans="1:10" x14ac:dyDescent="0.2">
      <c r="A45" s="5" t="s">
        <v>9</v>
      </c>
      <c r="G45" t="e">
        <f>AVERAGE(B45:F45)</f>
        <v>#DIV/0!</v>
      </c>
      <c r="H45" t="e">
        <f>STDEV(B45:F45)</f>
        <v>#DIV/0!</v>
      </c>
      <c r="I45" t="e">
        <f>G45+H45</f>
        <v>#DIV/0!</v>
      </c>
      <c r="J45" t="e">
        <f>G45-H45</f>
        <v>#DIV/0!</v>
      </c>
    </row>
    <row r="46" spans="1:10" x14ac:dyDescent="0.2">
      <c r="A46" s="5" t="s">
        <v>8</v>
      </c>
      <c r="G46" t="e">
        <f>AVERAGE(B46:F46)</f>
        <v>#DIV/0!</v>
      </c>
      <c r="H46" t="e">
        <f>STDEV(B46:F46)</f>
        <v>#DIV/0!</v>
      </c>
      <c r="I46" t="e">
        <f>G46+H46</f>
        <v>#DIV/0!</v>
      </c>
      <c r="J46" t="e">
        <f>G46-H46</f>
        <v>#DIV/0!</v>
      </c>
    </row>
    <row r="47" spans="1:10" x14ac:dyDescent="0.2">
      <c r="A47" s="5" t="s">
        <v>10</v>
      </c>
      <c r="G47" t="e">
        <f t="shared" ref="G47" si="10">AVERAGE(B47:F47)</f>
        <v>#DIV/0!</v>
      </c>
      <c r="H47" t="e">
        <f t="shared" ref="H47:H58" si="11">STDEV(B47:F47)</f>
        <v>#DIV/0!</v>
      </c>
      <c r="I47" t="e">
        <f t="shared" ref="I47:I58" si="12">G47+H47</f>
        <v>#DIV/0!</v>
      </c>
      <c r="J47" t="e">
        <f t="shared" ref="J47:J58" si="13">G47-H47</f>
        <v>#DIV/0!</v>
      </c>
    </row>
    <row r="48" spans="1:10" x14ac:dyDescent="0.2">
      <c r="A48" s="5" t="s">
        <v>11</v>
      </c>
      <c r="G48" t="e">
        <f>AVERAGE(B48:F48)</f>
        <v>#DIV/0!</v>
      </c>
      <c r="H48" t="e">
        <f t="shared" si="11"/>
        <v>#DIV/0!</v>
      </c>
      <c r="I48" t="e">
        <f t="shared" si="12"/>
        <v>#DIV/0!</v>
      </c>
      <c r="J48" t="e">
        <f t="shared" si="13"/>
        <v>#DIV/0!</v>
      </c>
    </row>
    <row r="49" spans="1:10" x14ac:dyDescent="0.2">
      <c r="A49" s="5" t="s">
        <v>12</v>
      </c>
      <c r="G49" t="e">
        <f t="shared" ref="G49" si="14">AVERAGE(B49:F49)</f>
        <v>#DIV/0!</v>
      </c>
      <c r="H49" t="e">
        <f t="shared" si="11"/>
        <v>#DIV/0!</v>
      </c>
      <c r="I49" t="e">
        <f t="shared" si="12"/>
        <v>#DIV/0!</v>
      </c>
      <c r="J49" t="e">
        <f t="shared" si="13"/>
        <v>#DIV/0!</v>
      </c>
    </row>
    <row r="50" spans="1:10" x14ac:dyDescent="0.2">
      <c r="A50" s="6" t="s">
        <v>13</v>
      </c>
      <c r="G50" t="e">
        <f>AVERAGE(B50:F50)</f>
        <v>#DIV/0!</v>
      </c>
      <c r="H50" t="e">
        <f t="shared" si="11"/>
        <v>#DIV/0!</v>
      </c>
      <c r="I50" t="e">
        <f t="shared" si="12"/>
        <v>#DIV/0!</v>
      </c>
      <c r="J50" t="e">
        <f t="shared" si="13"/>
        <v>#DIV/0!</v>
      </c>
    </row>
    <row r="51" spans="1:10" x14ac:dyDescent="0.2">
      <c r="A51" s="7" t="s">
        <v>14</v>
      </c>
      <c r="G51" t="e">
        <f t="shared" ref="G51:G57" si="15">AVERAGE(B51:F51)</f>
        <v>#DIV/0!</v>
      </c>
      <c r="H51" t="e">
        <f t="shared" si="11"/>
        <v>#DIV/0!</v>
      </c>
      <c r="I51" t="e">
        <f t="shared" si="12"/>
        <v>#DIV/0!</v>
      </c>
      <c r="J51" t="e">
        <f t="shared" si="13"/>
        <v>#DIV/0!</v>
      </c>
    </row>
    <row r="52" spans="1:10" x14ac:dyDescent="0.2">
      <c r="A52" s="7" t="s">
        <v>15</v>
      </c>
      <c r="G52" t="e">
        <f t="shared" si="15"/>
        <v>#DIV/0!</v>
      </c>
      <c r="H52" t="e">
        <f t="shared" si="11"/>
        <v>#DIV/0!</v>
      </c>
      <c r="I52" t="e">
        <f t="shared" si="12"/>
        <v>#DIV/0!</v>
      </c>
      <c r="J52" t="e">
        <f t="shared" si="13"/>
        <v>#DIV/0!</v>
      </c>
    </row>
    <row r="53" spans="1:10" x14ac:dyDescent="0.2">
      <c r="A53" s="7" t="s">
        <v>16</v>
      </c>
      <c r="G53" t="e">
        <f t="shared" si="15"/>
        <v>#DIV/0!</v>
      </c>
      <c r="H53" t="e">
        <f t="shared" si="11"/>
        <v>#DIV/0!</v>
      </c>
      <c r="I53" t="e">
        <f t="shared" si="12"/>
        <v>#DIV/0!</v>
      </c>
      <c r="J53" t="e">
        <f t="shared" si="13"/>
        <v>#DIV/0!</v>
      </c>
    </row>
    <row r="54" spans="1:10" x14ac:dyDescent="0.2">
      <c r="A54" s="7" t="s">
        <v>17</v>
      </c>
      <c r="G54" t="e">
        <f t="shared" si="15"/>
        <v>#DIV/0!</v>
      </c>
      <c r="H54" t="e">
        <f t="shared" si="11"/>
        <v>#DIV/0!</v>
      </c>
      <c r="I54" t="e">
        <f t="shared" si="12"/>
        <v>#DIV/0!</v>
      </c>
      <c r="J54" t="e">
        <f t="shared" si="13"/>
        <v>#DIV/0!</v>
      </c>
    </row>
    <row r="55" spans="1:10" x14ac:dyDescent="0.2">
      <c r="A55" s="7" t="s">
        <v>18</v>
      </c>
      <c r="G55" t="e">
        <f t="shared" si="15"/>
        <v>#DIV/0!</v>
      </c>
      <c r="H55" t="e">
        <f t="shared" si="11"/>
        <v>#DIV/0!</v>
      </c>
      <c r="I55" t="e">
        <f t="shared" si="12"/>
        <v>#DIV/0!</v>
      </c>
      <c r="J55" t="e">
        <f t="shared" si="13"/>
        <v>#DIV/0!</v>
      </c>
    </row>
    <row r="56" spans="1:10" x14ac:dyDescent="0.2">
      <c r="A56" s="8" t="s">
        <v>19</v>
      </c>
      <c r="G56" t="e">
        <f t="shared" si="15"/>
        <v>#DIV/0!</v>
      </c>
      <c r="H56" t="e">
        <f t="shared" si="11"/>
        <v>#DIV/0!</v>
      </c>
      <c r="I56" t="e">
        <f t="shared" si="12"/>
        <v>#DIV/0!</v>
      </c>
      <c r="J56" t="e">
        <f t="shared" si="13"/>
        <v>#DIV/0!</v>
      </c>
    </row>
    <row r="57" spans="1:10" x14ac:dyDescent="0.2">
      <c r="A57" s="8" t="s">
        <v>20</v>
      </c>
      <c r="G57" t="e">
        <f t="shared" si="15"/>
        <v>#DIV/0!</v>
      </c>
      <c r="H57" t="e">
        <f t="shared" si="11"/>
        <v>#DIV/0!</v>
      </c>
      <c r="I57" t="e">
        <f t="shared" si="12"/>
        <v>#DIV/0!</v>
      </c>
      <c r="J57" t="e">
        <f t="shared" si="13"/>
        <v>#DIV/0!</v>
      </c>
    </row>
    <row r="58" spans="1:10" x14ac:dyDescent="0.2">
      <c r="A58" s="8" t="s">
        <v>21</v>
      </c>
      <c r="G58" t="e">
        <f>AVERAGE(B58:F58)</f>
        <v>#DIV/0!</v>
      </c>
      <c r="H58" t="e">
        <f t="shared" si="11"/>
        <v>#DIV/0!</v>
      </c>
      <c r="I58" t="e">
        <f t="shared" si="12"/>
        <v>#DIV/0!</v>
      </c>
      <c r="J58" t="e">
        <f t="shared" si="13"/>
        <v>#DIV/0!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183D-572F-2C4B-A0F3-C6846F8ED73E}">
  <dimension ref="A1:O32"/>
  <sheetViews>
    <sheetView workbookViewId="0">
      <selection activeCell="P29" sqref="P29"/>
    </sheetView>
  </sheetViews>
  <sheetFormatPr baseColWidth="10" defaultRowHeight="16" x14ac:dyDescent="0.2"/>
  <sheetData>
    <row r="1" spans="1:15" x14ac:dyDescent="0.2">
      <c r="A1" s="9" t="s">
        <v>45</v>
      </c>
      <c r="B1" s="9"/>
      <c r="C1" s="9" t="s">
        <v>46</v>
      </c>
      <c r="D1" s="9"/>
      <c r="E1" s="9"/>
      <c r="F1" s="9"/>
      <c r="G1" s="9" t="s">
        <v>47</v>
      </c>
      <c r="H1" s="9"/>
      <c r="I1" s="9"/>
      <c r="J1" s="9"/>
      <c r="K1" s="9" t="s">
        <v>48</v>
      </c>
      <c r="L1" s="9"/>
      <c r="M1" s="9"/>
    </row>
    <row r="2" spans="1:15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5" x14ac:dyDescent="0.2">
      <c r="A3" s="9" t="s">
        <v>45</v>
      </c>
      <c r="B3" s="9"/>
      <c r="C3" s="9" t="s">
        <v>49</v>
      </c>
      <c r="D3" s="9" t="s">
        <v>50</v>
      </c>
      <c r="E3" s="9" t="s">
        <v>51</v>
      </c>
      <c r="F3" s="9"/>
      <c r="G3" s="9" t="s">
        <v>49</v>
      </c>
      <c r="H3" s="9" t="s">
        <v>50</v>
      </c>
      <c r="I3" s="9" t="s">
        <v>51</v>
      </c>
      <c r="J3" s="9"/>
      <c r="K3" s="9" t="s">
        <v>49</v>
      </c>
      <c r="L3" s="9" t="s">
        <v>50</v>
      </c>
      <c r="M3" s="9" t="s">
        <v>51</v>
      </c>
    </row>
    <row r="4" spans="1:15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5" x14ac:dyDescent="0.2">
      <c r="A5" s="9" t="s">
        <v>8</v>
      </c>
      <c r="B5" s="9"/>
      <c r="C5" s="9">
        <f>-0.129 +- 1.819</f>
        <v>-1.948</v>
      </c>
      <c r="D5" s="9" t="s">
        <v>52</v>
      </c>
      <c r="E5" s="9" t="s">
        <v>53</v>
      </c>
      <c r="F5" s="9"/>
      <c r="G5" s="9" t="s">
        <v>54</v>
      </c>
      <c r="H5" s="9" t="s">
        <v>55</v>
      </c>
      <c r="I5" s="9" t="s">
        <v>56</v>
      </c>
      <c r="J5" s="9"/>
      <c r="K5" s="9" t="s">
        <v>57</v>
      </c>
      <c r="L5" s="9" t="s">
        <v>58</v>
      </c>
      <c r="M5" s="9" t="s">
        <v>56</v>
      </c>
    </row>
    <row r="6" spans="1:15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O6" t="s">
        <v>147</v>
      </c>
    </row>
    <row r="7" spans="1:15" x14ac:dyDescent="0.2">
      <c r="A7" s="9" t="s">
        <v>9</v>
      </c>
      <c r="B7" s="9"/>
      <c r="C7" s="9" t="s">
        <v>59</v>
      </c>
      <c r="D7" s="9" t="s">
        <v>60</v>
      </c>
      <c r="E7" s="9" t="s">
        <v>61</v>
      </c>
      <c r="F7" s="9"/>
      <c r="G7" s="9" t="s">
        <v>62</v>
      </c>
      <c r="H7" s="9" t="s">
        <v>63</v>
      </c>
      <c r="I7" s="9" t="s">
        <v>56</v>
      </c>
      <c r="J7" s="9"/>
      <c r="K7" s="9" t="s">
        <v>64</v>
      </c>
      <c r="L7" s="9" t="s">
        <v>65</v>
      </c>
      <c r="M7" s="9" t="s">
        <v>56</v>
      </c>
    </row>
    <row r="8" spans="1:15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5" x14ac:dyDescent="0.2">
      <c r="A9" s="9" t="s">
        <v>10</v>
      </c>
      <c r="B9" s="9"/>
      <c r="C9" s="9" t="s">
        <v>66</v>
      </c>
      <c r="D9" s="9" t="s">
        <v>67</v>
      </c>
      <c r="E9" s="9" t="s">
        <v>68</v>
      </c>
      <c r="F9" s="9"/>
      <c r="G9" s="9" t="s">
        <v>69</v>
      </c>
      <c r="H9" s="9" t="s">
        <v>70</v>
      </c>
      <c r="I9" s="9" t="s">
        <v>56</v>
      </c>
      <c r="J9" s="9"/>
      <c r="K9" s="9" t="s">
        <v>71</v>
      </c>
      <c r="L9" s="9" t="s">
        <v>72</v>
      </c>
      <c r="M9" s="9" t="s">
        <v>56</v>
      </c>
    </row>
    <row r="10" spans="1:1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5" x14ac:dyDescent="0.2">
      <c r="A11" s="9" t="s">
        <v>11</v>
      </c>
      <c r="B11" s="9"/>
      <c r="C11" s="9" t="s">
        <v>73</v>
      </c>
      <c r="D11" s="9" t="s">
        <v>74</v>
      </c>
      <c r="E11" s="10" t="s">
        <v>75</v>
      </c>
      <c r="F11" s="9"/>
      <c r="G11" s="9" t="s">
        <v>76</v>
      </c>
      <c r="H11" s="9" t="s">
        <v>77</v>
      </c>
      <c r="I11" s="9" t="s">
        <v>56</v>
      </c>
      <c r="J11" s="9"/>
      <c r="K11" s="9" t="s">
        <v>78</v>
      </c>
      <c r="L11" s="9" t="s">
        <v>79</v>
      </c>
      <c r="M11" s="9" t="s">
        <v>56</v>
      </c>
    </row>
    <row r="12" spans="1:15" x14ac:dyDescent="0.2">
      <c r="A12" s="9"/>
      <c r="B12" s="9"/>
      <c r="C12" s="9"/>
      <c r="D12" s="9"/>
      <c r="E12" s="10"/>
      <c r="F12" s="9"/>
      <c r="G12" s="9"/>
      <c r="H12" s="9"/>
      <c r="I12" s="9"/>
      <c r="J12" s="9"/>
      <c r="K12" s="9"/>
      <c r="L12" s="9"/>
      <c r="M12" s="9"/>
    </row>
    <row r="13" spans="1:15" x14ac:dyDescent="0.2">
      <c r="A13" s="9" t="s">
        <v>12</v>
      </c>
      <c r="B13" s="9"/>
      <c r="C13" s="9">
        <f>-0.014 +- 0.219</f>
        <v>-0.23300000000000001</v>
      </c>
      <c r="D13" s="9" t="s">
        <v>80</v>
      </c>
      <c r="E13" s="9" t="s">
        <v>81</v>
      </c>
      <c r="F13" s="9"/>
      <c r="G13" s="9" t="s">
        <v>82</v>
      </c>
      <c r="H13" s="9" t="s">
        <v>83</v>
      </c>
      <c r="I13" s="9" t="s">
        <v>56</v>
      </c>
      <c r="J13" s="9"/>
      <c r="K13" s="9" t="s">
        <v>84</v>
      </c>
      <c r="L13" s="9" t="s">
        <v>85</v>
      </c>
      <c r="M13" s="9" t="s">
        <v>56</v>
      </c>
    </row>
    <row r="14" spans="1:15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5" x14ac:dyDescent="0.2">
      <c r="A15" s="9" t="s">
        <v>13</v>
      </c>
      <c r="B15" s="9"/>
      <c r="C15" s="9" t="s">
        <v>86</v>
      </c>
      <c r="D15" s="9" t="s">
        <v>87</v>
      </c>
      <c r="E15" s="9" t="s">
        <v>88</v>
      </c>
      <c r="F15" s="9"/>
      <c r="G15" s="9" t="s">
        <v>89</v>
      </c>
      <c r="H15" s="9" t="s">
        <v>90</v>
      </c>
      <c r="I15" s="9" t="s">
        <v>56</v>
      </c>
      <c r="J15" s="9"/>
      <c r="K15" s="9" t="s">
        <v>91</v>
      </c>
      <c r="L15" s="9" t="s">
        <v>92</v>
      </c>
      <c r="M15" s="9" t="s">
        <v>56</v>
      </c>
    </row>
    <row r="16" spans="1:15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9" t="s">
        <v>14</v>
      </c>
      <c r="B17" s="9"/>
      <c r="C17" s="9" t="s">
        <v>93</v>
      </c>
      <c r="D17" s="10" t="s">
        <v>94</v>
      </c>
      <c r="E17" s="9" t="s">
        <v>95</v>
      </c>
      <c r="F17" s="9"/>
      <c r="G17" s="9" t="s">
        <v>96</v>
      </c>
      <c r="H17" s="9" t="s">
        <v>97</v>
      </c>
      <c r="I17" s="9" t="s">
        <v>56</v>
      </c>
      <c r="J17" s="9"/>
      <c r="K17" s="9" t="s">
        <v>98</v>
      </c>
      <c r="L17" s="9" t="s">
        <v>99</v>
      </c>
      <c r="M17" s="9" t="s">
        <v>56</v>
      </c>
    </row>
    <row r="18" spans="1:13" x14ac:dyDescent="0.2">
      <c r="A18" s="9"/>
      <c r="B18" s="9"/>
      <c r="C18" s="9"/>
      <c r="D18" s="10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">
      <c r="A19" s="9" t="s">
        <v>15</v>
      </c>
      <c r="B19" s="9"/>
      <c r="C19" s="9" t="s">
        <v>100</v>
      </c>
      <c r="D19" s="9" t="s">
        <v>101</v>
      </c>
      <c r="E19" s="9" t="s">
        <v>102</v>
      </c>
      <c r="F19" s="9"/>
      <c r="G19" s="9" t="s">
        <v>103</v>
      </c>
      <c r="H19" s="9" t="s">
        <v>104</v>
      </c>
      <c r="I19" s="9" t="s">
        <v>56</v>
      </c>
      <c r="J19" s="9"/>
      <c r="K19" s="9" t="s">
        <v>105</v>
      </c>
      <c r="L19" s="9" t="s">
        <v>106</v>
      </c>
      <c r="M19" s="9" t="s">
        <v>56</v>
      </c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A21" s="9" t="s">
        <v>16</v>
      </c>
      <c r="B21" s="9"/>
      <c r="C21" s="9" t="s">
        <v>107</v>
      </c>
      <c r="D21" s="9" t="s">
        <v>108</v>
      </c>
      <c r="E21" s="9" t="s">
        <v>109</v>
      </c>
      <c r="F21" s="9"/>
      <c r="G21" s="9" t="s">
        <v>110</v>
      </c>
      <c r="H21" s="9" t="s">
        <v>111</v>
      </c>
      <c r="I21" s="9" t="s">
        <v>56</v>
      </c>
      <c r="J21" s="9"/>
      <c r="K21" s="9">
        <f>-0.029 +- 1.046</f>
        <v>-1.075</v>
      </c>
      <c r="L21" s="9" t="s">
        <v>112</v>
      </c>
      <c r="M21" s="9" t="s">
        <v>56</v>
      </c>
    </row>
    <row r="22" spans="1:1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">
      <c r="A23" s="9" t="s">
        <v>17</v>
      </c>
      <c r="B23" s="9"/>
      <c r="C23" s="9" t="s">
        <v>113</v>
      </c>
      <c r="D23" s="9" t="s">
        <v>114</v>
      </c>
      <c r="E23" s="9" t="s">
        <v>115</v>
      </c>
      <c r="F23" s="9"/>
      <c r="G23" s="9" t="s">
        <v>116</v>
      </c>
      <c r="H23" s="10" t="s">
        <v>117</v>
      </c>
      <c r="I23" s="9" t="s">
        <v>56</v>
      </c>
      <c r="J23" s="9"/>
      <c r="K23" s="9" t="s">
        <v>118</v>
      </c>
      <c r="L23" s="9" t="s">
        <v>119</v>
      </c>
      <c r="M23" s="9" t="s">
        <v>56</v>
      </c>
    </row>
    <row r="24" spans="1:13" x14ac:dyDescent="0.2">
      <c r="A24" s="9"/>
      <c r="B24" s="9"/>
      <c r="C24" s="9"/>
      <c r="D24" s="9"/>
      <c r="E24" s="9"/>
      <c r="F24" s="9"/>
      <c r="G24" s="9"/>
      <c r="H24" s="10"/>
      <c r="I24" s="9"/>
      <c r="J24" s="9"/>
      <c r="K24" s="9"/>
      <c r="L24" s="9"/>
      <c r="M24" s="9"/>
    </row>
    <row r="25" spans="1:13" x14ac:dyDescent="0.2">
      <c r="A25" s="9" t="s">
        <v>18</v>
      </c>
      <c r="B25" s="9"/>
      <c r="C25" s="9" t="s">
        <v>120</v>
      </c>
      <c r="D25" s="9" t="s">
        <v>121</v>
      </c>
      <c r="E25" s="9" t="s">
        <v>122</v>
      </c>
      <c r="F25" s="9"/>
      <c r="G25" s="10" t="s">
        <v>123</v>
      </c>
      <c r="H25" s="9" t="s">
        <v>124</v>
      </c>
      <c r="I25" s="9" t="s">
        <v>56</v>
      </c>
      <c r="J25" s="9"/>
      <c r="K25" s="9" t="s">
        <v>125</v>
      </c>
      <c r="L25" s="9" t="s">
        <v>126</v>
      </c>
      <c r="M25" s="9" t="s">
        <v>56</v>
      </c>
    </row>
    <row r="26" spans="1:13" x14ac:dyDescent="0.2">
      <c r="A26" s="9"/>
      <c r="B26" s="9"/>
      <c r="C26" s="9"/>
      <c r="D26" s="9"/>
      <c r="E26" s="9"/>
      <c r="F26" s="9"/>
      <c r="G26" s="10"/>
      <c r="H26" s="9"/>
      <c r="I26" s="9"/>
      <c r="J26" s="9"/>
      <c r="K26" s="9"/>
      <c r="L26" s="9"/>
      <c r="M26" s="9"/>
    </row>
    <row r="27" spans="1:13" x14ac:dyDescent="0.2">
      <c r="A27" s="9" t="s">
        <v>19</v>
      </c>
      <c r="B27" s="9"/>
      <c r="C27" s="9" t="s">
        <v>127</v>
      </c>
      <c r="D27" s="9" t="s">
        <v>128</v>
      </c>
      <c r="E27" s="9" t="s">
        <v>129</v>
      </c>
      <c r="F27" s="9"/>
      <c r="G27" s="9" t="s">
        <v>130</v>
      </c>
      <c r="H27" s="9" t="s">
        <v>131</v>
      </c>
      <c r="I27" s="9" t="s">
        <v>56</v>
      </c>
      <c r="J27" s="9"/>
      <c r="K27" s="9" t="s">
        <v>132</v>
      </c>
      <c r="L27" s="10" t="s">
        <v>133</v>
      </c>
      <c r="M27" s="9" t="s">
        <v>56</v>
      </c>
    </row>
    <row r="28" spans="1:13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9"/>
    </row>
    <row r="29" spans="1:13" x14ac:dyDescent="0.2">
      <c r="A29" s="9" t="s">
        <v>20</v>
      </c>
      <c r="B29" s="9"/>
      <c r="C29" s="9" t="s">
        <v>134</v>
      </c>
      <c r="D29" s="9" t="s">
        <v>135</v>
      </c>
      <c r="E29" s="9" t="s">
        <v>136</v>
      </c>
      <c r="F29" s="9"/>
      <c r="G29" s="9" t="s">
        <v>137</v>
      </c>
      <c r="H29" s="9" t="s">
        <v>138</v>
      </c>
      <c r="I29" s="9" t="s">
        <v>56</v>
      </c>
      <c r="J29" s="9"/>
      <c r="K29" s="9" t="s">
        <v>139</v>
      </c>
      <c r="L29" s="9" t="s">
        <v>140</v>
      </c>
      <c r="M29" s="9" t="s">
        <v>56</v>
      </c>
    </row>
    <row r="30" spans="1:1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">
      <c r="A31" s="9" t="s">
        <v>21</v>
      </c>
      <c r="B31" s="9"/>
      <c r="C31" s="10" t="s">
        <v>141</v>
      </c>
      <c r="D31" s="9" t="s">
        <v>142</v>
      </c>
      <c r="E31" s="9" t="s">
        <v>143</v>
      </c>
      <c r="F31" s="9"/>
      <c r="G31" s="9" t="s">
        <v>144</v>
      </c>
      <c r="H31" s="9" t="s">
        <v>145</v>
      </c>
      <c r="I31" s="9" t="s">
        <v>56</v>
      </c>
      <c r="J31" s="9"/>
      <c r="K31" s="10" t="s">
        <v>146</v>
      </c>
      <c r="L31" s="10" t="s">
        <v>133</v>
      </c>
      <c r="M31" s="9" t="s">
        <v>56</v>
      </c>
    </row>
    <row r="32" spans="1:13" x14ac:dyDescent="0.2">
      <c r="A32" s="9"/>
      <c r="B32" s="9"/>
      <c r="C32" s="10"/>
      <c r="D32" s="9"/>
      <c r="E32" s="9"/>
      <c r="F32" s="9"/>
      <c r="G32" s="9"/>
      <c r="H32" s="9"/>
      <c r="I32" s="9"/>
      <c r="J32" s="9"/>
      <c r="K32" s="10"/>
      <c r="L32" s="10"/>
      <c r="M32" s="9"/>
    </row>
  </sheetData>
  <mergeCells count="208">
    <mergeCell ref="J31:J32"/>
    <mergeCell ref="K31:K32"/>
    <mergeCell ref="L31:L32"/>
    <mergeCell ref="M31:M32"/>
    <mergeCell ref="M29:M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G29:G30"/>
    <mergeCell ref="H29:H30"/>
    <mergeCell ref="I29:I30"/>
    <mergeCell ref="J29:J30"/>
    <mergeCell ref="K29:K30"/>
    <mergeCell ref="L29:L30"/>
    <mergeCell ref="J27:J28"/>
    <mergeCell ref="K27:K28"/>
    <mergeCell ref="L27:L28"/>
    <mergeCell ref="M27:M28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3:J24"/>
    <mergeCell ref="K23:K24"/>
    <mergeCell ref="L23:L24"/>
    <mergeCell ref="M23:M24"/>
    <mergeCell ref="A25:A26"/>
    <mergeCell ref="B25:B26"/>
    <mergeCell ref="C25:C26"/>
    <mergeCell ref="D25:D26"/>
    <mergeCell ref="E25:E26"/>
    <mergeCell ref="F25:F26"/>
    <mergeCell ref="M25:M26"/>
    <mergeCell ref="G25:G26"/>
    <mergeCell ref="H25:H26"/>
    <mergeCell ref="I25:I26"/>
    <mergeCell ref="J25:J26"/>
    <mergeCell ref="K25:K26"/>
    <mergeCell ref="L25:L26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19:J20"/>
    <mergeCell ref="K19:K20"/>
    <mergeCell ref="L19:L20"/>
    <mergeCell ref="M19:M20"/>
    <mergeCell ref="A21:A22"/>
    <mergeCell ref="B21:B22"/>
    <mergeCell ref="C21:C22"/>
    <mergeCell ref="D21:D22"/>
    <mergeCell ref="E21:E22"/>
    <mergeCell ref="F21:F22"/>
    <mergeCell ref="M21:M22"/>
    <mergeCell ref="G21:G22"/>
    <mergeCell ref="H21:H22"/>
    <mergeCell ref="I21:I22"/>
    <mergeCell ref="J21:J22"/>
    <mergeCell ref="K21:K22"/>
    <mergeCell ref="L21:L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5:J16"/>
    <mergeCell ref="K15:K16"/>
    <mergeCell ref="L15:L16"/>
    <mergeCell ref="M15:M16"/>
    <mergeCell ref="A17:A18"/>
    <mergeCell ref="B17:B18"/>
    <mergeCell ref="C17:C18"/>
    <mergeCell ref="D17:D18"/>
    <mergeCell ref="E17:E18"/>
    <mergeCell ref="F17:F18"/>
    <mergeCell ref="M17:M18"/>
    <mergeCell ref="G17:G18"/>
    <mergeCell ref="H17:H18"/>
    <mergeCell ref="I17:I18"/>
    <mergeCell ref="J17:J18"/>
    <mergeCell ref="K17:K18"/>
    <mergeCell ref="L17:L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1:J12"/>
    <mergeCell ref="K11:K12"/>
    <mergeCell ref="L11:L12"/>
    <mergeCell ref="M11:M12"/>
    <mergeCell ref="A13:A14"/>
    <mergeCell ref="B13:B14"/>
    <mergeCell ref="C13:C14"/>
    <mergeCell ref="D13:D14"/>
    <mergeCell ref="E13:E14"/>
    <mergeCell ref="F13:F14"/>
    <mergeCell ref="M13:M14"/>
    <mergeCell ref="G13:G14"/>
    <mergeCell ref="H13:H14"/>
    <mergeCell ref="I13:I14"/>
    <mergeCell ref="J13:J14"/>
    <mergeCell ref="K13:K14"/>
    <mergeCell ref="L13:L14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7:J8"/>
    <mergeCell ref="K7:K8"/>
    <mergeCell ref="L7:L8"/>
    <mergeCell ref="M7:M8"/>
    <mergeCell ref="A9:A10"/>
    <mergeCell ref="B9:B10"/>
    <mergeCell ref="C9:C10"/>
    <mergeCell ref="D9:D10"/>
    <mergeCell ref="E9:E10"/>
    <mergeCell ref="F9:F10"/>
    <mergeCell ref="M9:M10"/>
    <mergeCell ref="G9:G10"/>
    <mergeCell ref="H9:H10"/>
    <mergeCell ref="I9:I10"/>
    <mergeCell ref="J9:J10"/>
    <mergeCell ref="K9:K10"/>
    <mergeCell ref="L9:L10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L3:L4"/>
    <mergeCell ref="M3:M4"/>
    <mergeCell ref="A5:A6"/>
    <mergeCell ref="B5:B6"/>
    <mergeCell ref="C5:C6"/>
    <mergeCell ref="D5:D6"/>
    <mergeCell ref="E5:E6"/>
    <mergeCell ref="F5:F6"/>
    <mergeCell ref="M5:M6"/>
    <mergeCell ref="G5:G6"/>
    <mergeCell ref="H5:H6"/>
    <mergeCell ref="I5:I6"/>
    <mergeCell ref="J5:J6"/>
    <mergeCell ref="K5:K6"/>
    <mergeCell ref="L5:L6"/>
    <mergeCell ref="M1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J3:J4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5DB2-242F-4149-96FD-77A165B0BEDE}">
  <dimension ref="A1:J4"/>
  <sheetViews>
    <sheetView workbookViewId="0">
      <selection activeCell="D10" sqref="D10"/>
    </sheetView>
  </sheetViews>
  <sheetFormatPr baseColWidth="10" defaultRowHeight="16" x14ac:dyDescent="0.2"/>
  <cols>
    <col min="1" max="1" width="17.6640625" bestFit="1" customWidth="1"/>
    <col min="2" max="4" width="12.1640625" bestFit="1" customWidth="1"/>
    <col min="5" max="5" width="11.1640625" bestFit="1" customWidth="1"/>
    <col min="6" max="6" width="12.1640625" bestFit="1" customWidth="1"/>
    <col min="7" max="7" width="11.1640625" bestFit="1" customWidth="1"/>
    <col min="8" max="10" width="12.1640625" bestFit="1" customWidth="1"/>
  </cols>
  <sheetData>
    <row r="1" spans="1:10" x14ac:dyDescent="0.2">
      <c r="A1" t="s">
        <v>43</v>
      </c>
    </row>
    <row r="3" spans="1:10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22</v>
      </c>
      <c r="J3" s="1" t="s">
        <v>23</v>
      </c>
    </row>
    <row r="4" spans="1:10" x14ac:dyDescent="0.2">
      <c r="A4" s="5" t="s">
        <v>44</v>
      </c>
      <c r="B4">
        <v>0.64957507234536604</v>
      </c>
      <c r="C4">
        <v>0.66560357845913298</v>
      </c>
      <c r="D4">
        <v>0.720037996546804</v>
      </c>
      <c r="E4">
        <v>0.65432048291176304</v>
      </c>
      <c r="F4">
        <v>0.68296791550101799</v>
      </c>
      <c r="G4">
        <f>AVERAGE(B4:F4)</f>
        <v>0.67450100915281685</v>
      </c>
      <c r="H4">
        <f>STDEV(B4:F4)</f>
        <v>2.8517652261683263E-2</v>
      </c>
      <c r="I4">
        <f>G4+H4</f>
        <v>0.70301866141450009</v>
      </c>
      <c r="J4">
        <f>G4-H4</f>
        <v>0.64598335689113362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Mcconachie, Grant</dc:creator>
  <cp:keywords/>
  <dc:description/>
  <cp:lastModifiedBy>Mcconachie, Grant</cp:lastModifiedBy>
  <dcterms:created xsi:type="dcterms:W3CDTF">2025-02-06T14:35:26Z</dcterms:created>
  <dcterms:modified xsi:type="dcterms:W3CDTF">2025-05-16T14:07:52Z</dcterms:modified>
  <cp:category/>
</cp:coreProperties>
</file>